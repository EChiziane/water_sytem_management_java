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DB8F222A-9349-4404-93EA-F5CAEC888595}"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<sst xmlns="http://schemas.openxmlformats.org/spreadsheetml/2006/main" count="51" uniqueCount="49">
  <si>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</si>
  <si>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</si>
  <si>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</si>
  <si>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</si>
  <si>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</si>
  <si>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</si>
  <si>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</si>
  <si>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</si>
  <si>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</si>
  <si>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</si>
  <si>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</si>
  <si>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</si>
  <si>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</si>
  <si>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</si>
  <si>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</si>
  <si>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</si>
  <si>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</si>
  <si>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</si>
  <si>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</si>
  <si>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</si>
  <si>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</si>
  <si>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</si>
  <si>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</si>
  <si>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</si>
  <si>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</si>
  <si>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</si>
  <si>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</si>
  <si>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</si>
  <si>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</si>
  <si>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</si>
  <si>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</si>
  <si>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</si>
  <si>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</si>
  <si>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</si>
  <si>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</si>
  <si>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</si>
  <si>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</si>
  <si>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</si>
  <si>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</si>
  <si>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</si>
  <si>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</si>
  <si>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Joel Cornelio</t>
  </si>
  <si>
    <t>874589985</t>
  </si>
  <si>
    <t>Maluana</t>
  </si>
  <si>
    <t>cliente.aguachiziane@gmail.com</t>
  </si>
  <si>
    <t>ATIVO</t>
  </si>
  <si>
    <t>1234</t>
  </si>
  <si>
    <t>3b2e97b7-8d34-42e8-bc2b-0f06ef281096</t>
  </si>
  <si>
    <t>dezembro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</si>
</sst>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165" fontId="20" fillId="0" borderId="18" xfId="0" applyNumberFormat="1" applyFont="1" applyBorder="1" applyAlignment="1">
      <alignment vertical="center"/>
    </xf>
    <xf numFmtId="0" fontId="42" fillId="0" borderId="24" xfId="0" applyFont="1" applyBorder="1" applyAlignment="1" applyProtection="1">
      <alignment horizontal="center" vertical="center"/>
      <protection locked="0"/>
    </xf>
    <xf numFmtId="165" fontId="42"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G15" sqref="G15"/>
    </sheetView>
  </sheetViews>
  <sheetFormatPr defaultColWidth="9" defaultRowHeight="14.4" x14ac:dyDescent="0.3"/>
  <cols>
    <col min="1" max="1" customWidth="true" style="7" width="3.796875"/>
    <col min="2" max="2" bestFit="true" customWidth="true" style="7" width="23.796875"/>
    <col min="3" max="3" bestFit="true" customWidth="true" style="28" width="7.0"/>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41</v>
      </c>
      <c r="C7" s="30"/>
      <c r="D7" s="42" t="s">
        <v>46</v>
      </c>
      <c r="E7" s="43">
        <f ca="1">TODAY()</f>
        <v>45996</v>
      </c>
      <c r="G7" s="18"/>
    </row>
    <row r="8" spans="2:8" ht="15" customHeight="1" x14ac:dyDescent="0.3">
      <c r="B8" s="49" t="s">
        <v>42</v>
      </c>
      <c r="C8" s="31"/>
      <c r="D8" s="44" t="s">
        <v>6</v>
      </c>
      <c r="E8" s="45" t="s">
        <v>7</v>
      </c>
      <c r="G8" s="14"/>
    </row>
    <row r="9" spans="2:8" ht="15" customHeight="1" thickBot="1" x14ac:dyDescent="0.35">
      <c r="B9" s="49" t="s">
        <v>43</v>
      </c>
      <c r="C9" s="31"/>
      <c r="D9" s="46" t="s">
        <v>47</v>
      </c>
      <c r="E9" s="47"/>
      <c r="G9" s="24" t="s">
        <v>12</v>
      </c>
    </row>
    <row r="10" spans="2:8" ht="15" customHeight="1" x14ac:dyDescent="0.3">
      <c r="B10" s="49" t="s">
        <v>44</v>
      </c>
      <c r="C10" s="31"/>
      <c r="D10" s="16"/>
      <c r="E10" s="16"/>
      <c r="G10" s="18" t="s">
        <v>14</v>
      </c>
    </row>
    <row r="11" spans="2:8" ht="15" customHeight="1" thickBot="1" x14ac:dyDescent="0.35">
      <c r="B11" s="50" t="s">
        <v>45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48</v>
      </c>
      <c r="C14" s="68" t="n">
        <v>1.0</v>
      </c>
      <c r="D14" s="69" t="n">
        <v>200.0</v>
      </c>
      <c r="E14" s="67" t="n">
        <f t="shared" ref="E14" si="0">IF(C14="",ROUND(1*D14,2),ROUND(C14*D14,2))</f>
        <v>2000.0</v>
      </c>
      <c r="G14" s="18"/>
    </row>
    <row r="15" spans="2:8" ht="19.95" customHeight="1" x14ac:dyDescent="0.3">
      <c r="B15" s="27" t="s">
        <v>21</v>
      </c>
      <c r="C15" s="60" t="s">
        <v>22</v>
      </c>
      <c r="D15" s="65"/>
      <c r="E15" s="64" t="n">
        <f>SUM(E12:E14)</f>
        <v>200.0</v>
      </c>
      <c r="G15" s="20"/>
    </row>
    <row r="16" spans="2:8" ht="19.95" customHeight="1" x14ac:dyDescent="0.3">
      <c r="B16" s="19"/>
      <c r="C16" s="60" t="s">
        <v>23</v>
      </c>
      <c r="D16" s="61"/>
      <c r="E16" s="51" t="n">
        <v>0.0</v>
      </c>
      <c r="G16" s="20"/>
    </row>
    <row r="17" spans="2:7" ht="19.95" customHeight="1" x14ac:dyDescent="0.3">
      <c r="B17" s="19"/>
      <c r="C17" s="52" t="s">
        <v>25</v>
      </c>
      <c r="D17" s="19"/>
      <c r="E17" s="64" t="n">
        <f>E15*E16</f>
        <v>121212.0</v>
      </c>
      <c r="G17" s="20"/>
    </row>
    <row r="18" spans="2:7" ht="19.95" customHeight="1" thickBot="1" x14ac:dyDescent="0.35">
      <c r="B18" s="21"/>
      <c r="C18" s="53" t="s">
        <v>26</v>
      </c>
      <c r="D18" s="54"/>
      <c r="E18" s="63" t="n">
        <f>E15+E17</f>
        <v>2.42426E7</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