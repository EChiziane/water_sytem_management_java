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5052E119-8F29-47BE-98A2-BDB4239BC4AC}"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Invoice!$B$2:$E$23</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6" i="24" s="1"/>
  <c r="E7" i="24"/>
  <c r="E18" i="24" l="1"/>
  <c r="E19" i="24" s="1"/>
</calcChain>
</file>

<file path=xl/sharedStrings.xml><?xml version="1.0" encoding="utf-8"?>
<sst xmlns="http://schemas.openxmlformats.org/spreadsheetml/2006/main" count="52" uniqueCount="50">
  <si>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</si>
  <si>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</si>
  <si>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</si>
  <si>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</si>
  <si>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</si>
  <si>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</si>
  <si>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</si>
  <si>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</si>
  <si>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</si>
  <si>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</si>
  <si>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</si>
  <si>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</si>
  <si>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</si>
  <si>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</si>
  <si>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</si>
  <si>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</si>
  <si>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</si>
  <si>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</si>
  <si>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</si>
  <si>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</si>
  <si>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</si>
  <si>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</si>
  <si>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</si>
  <si>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</si>
  <si>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</si>
  <si>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</si>
  <si>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</si>
  <si>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</si>
  <si>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</si>
  <si>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</si>
  <si>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</si>
  <si>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</si>
  <si>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</si>
  <si>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</si>
  <si>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</si>
  <si>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</si>
  <si>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</si>
  <si>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</si>
  <si>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</si>
  <si>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</si>
  <si>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</si>
  <si>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</si>
  <si>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Karmel Jonas</t>
  </si>
  <si>
    <t>890909093</t>
  </si>
  <si>
    <t>Maputo Province, Maputo</t>
  </si>
  <si>
    <t>cliente.aguachiziane@gmail.com</t>
  </si>
  <si>
    <t>ATIVO</t>
  </si>
  <si>
    <t>1234</t>
  </si>
  <si>
    <t>b646d3d3-5705-4c22-9670-35bf99b30219</t>
  </si>
  <si>
    <t>março, abril, maio, junho, julho,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</si>
</sst>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51"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
      <b/>
      <sz val="11"/>
      <color theme="0"/>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style="hair">
        <color auto="1"/>
      </right>
      <top style="medium">
        <color indexed="64"/>
      </top>
      <bottom/>
      <diagonal/>
    </border>
    <border>
      <left style="hair">
        <color auto="1"/>
      </left>
      <right style="hair">
        <color auto="1"/>
      </right>
      <top style="medium">
        <color indexed="64"/>
      </top>
      <bottom/>
      <diagonal/>
    </border>
    <border>
      <left style="hair">
        <color auto="1"/>
      </left>
      <right style="medium">
        <color indexed="64"/>
      </right>
      <top style="medium">
        <color indexed="64"/>
      </top>
      <bottom/>
      <diagonal/>
    </border>
    <border>
      <left style="medium">
        <color indexed="64"/>
      </left>
      <right style="hair">
        <color auto="1"/>
      </right>
      <top/>
      <bottom style="medium">
        <color indexed="64"/>
      </bottom>
      <diagonal/>
    </border>
    <border>
      <left style="hair">
        <color auto="1"/>
      </left>
      <right style="hair">
        <color auto="1"/>
      </right>
      <top/>
      <bottom style="medium">
        <color indexed="64"/>
      </bottom>
      <diagonal/>
    </border>
    <border>
      <left style="hair">
        <color auto="1"/>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6" xfId="0" applyFont="1" applyFill="1" applyBorder="1" applyAlignment="1">
      <alignment horizontal="left" vertical="center" indent="1"/>
    </xf>
    <xf numFmtId="0" fontId="45" fillId="20" borderId="17" xfId="0" applyFont="1" applyFill="1" applyBorder="1" applyAlignment="1">
      <alignment horizontal="center" vertical="center"/>
    </xf>
    <xf numFmtId="0" fontId="45" fillId="20" borderId="18" xfId="0" applyFont="1" applyFill="1" applyBorder="1" applyAlignment="1">
      <alignment horizontal="center" vertical="center"/>
    </xf>
    <xf numFmtId="0" fontId="45" fillId="20" borderId="19" xfId="0" applyFont="1" applyFill="1" applyBorder="1" applyAlignment="1">
      <alignment horizontal="left" vertical="center" indent="1"/>
    </xf>
    <xf numFmtId="0" fontId="45" fillId="20" borderId="20" xfId="0" applyFont="1" applyFill="1" applyBorder="1" applyAlignment="1">
      <alignment horizontal="left" vertical="center" indent="1"/>
    </xf>
    <xf numFmtId="0" fontId="25" fillId="0" borderId="21" xfId="0" applyFont="1" applyBorder="1" applyAlignment="1" applyProtection="1">
      <alignment horizontal="left" vertical="center" indent="1"/>
      <protection locked="0"/>
    </xf>
    <xf numFmtId="14" fontId="25" fillId="0" borderId="22" xfId="0" applyNumberFormat="1" applyFont="1" applyBorder="1" applyAlignment="1">
      <alignment horizontal="left" vertical="center" indent="1"/>
    </xf>
    <xf numFmtId="0" fontId="38" fillId="20" borderId="21" xfId="0" applyFont="1" applyFill="1" applyBorder="1" applyAlignment="1">
      <alignment horizontal="left" vertical="center" indent="1"/>
    </xf>
    <xf numFmtId="0" fontId="38" fillId="20" borderId="22" xfId="0" applyFont="1" applyFill="1" applyBorder="1" applyAlignment="1">
      <alignment horizontal="left" vertical="center" indent="1"/>
    </xf>
    <xf numFmtId="0" fontId="25" fillId="0" borderId="23" xfId="0" applyFont="1" applyBorder="1" applyAlignment="1">
      <alignment horizontal="left" vertical="center" indent="1"/>
    </xf>
    <xf numFmtId="0" fontId="25" fillId="0" borderId="24" xfId="0" applyFont="1" applyBorder="1" applyAlignment="1">
      <alignment horizontal="left" vertical="center" indent="1"/>
    </xf>
    <xf numFmtId="0" fontId="45" fillId="20" borderId="25" xfId="0" applyFont="1" applyFill="1" applyBorder="1" applyAlignment="1">
      <alignment horizontal="left" vertical="center" indent="1"/>
    </xf>
    <xf numFmtId="0" fontId="20" fillId="0" borderId="26" xfId="0" applyFont="1" applyBorder="1" applyAlignment="1" applyProtection="1">
      <alignment horizontal="left" vertical="center" indent="1"/>
      <protection locked="0"/>
    </xf>
    <xf numFmtId="0" fontId="33" fillId="0" borderId="27" xfId="34" applyFont="1" applyBorder="1" applyAlignment="1" applyProtection="1">
      <alignment horizontal="left" vertical="center" indent="1"/>
    </xf>
    <xf numFmtId="43" fontId="20" fillId="0" borderId="20" xfId="0" applyNumberFormat="1" applyFont="1" applyBorder="1" applyAlignment="1">
      <alignment vertical="center"/>
    </xf>
    <xf numFmtId="164" fontId="20" fillId="0" borderId="22" xfId="0" applyNumberFormat="1" applyFont="1" applyBorder="1" applyAlignment="1">
      <alignment vertical="center"/>
    </xf>
    <xf numFmtId="0" fontId="42" fillId="0" borderId="21" xfId="0" applyFont="1" applyBorder="1" applyAlignment="1">
      <alignment horizontal="left" vertical="center" indent="1"/>
    </xf>
    <xf numFmtId="43" fontId="20" fillId="0" borderId="22" xfId="0" applyNumberFormat="1" applyFont="1" applyBorder="1" applyAlignment="1">
      <alignment vertical="center"/>
    </xf>
    <xf numFmtId="0" fontId="43" fillId="23" borderId="23" xfId="0" applyFont="1" applyFill="1" applyBorder="1" applyAlignment="1">
      <alignment horizontal="left" vertical="center" indent="1"/>
    </xf>
    <xf numFmtId="0" fontId="40" fillId="23" borderId="29" xfId="0" applyFont="1" applyFill="1" applyBorder="1" applyAlignment="1">
      <alignment horizontal="left" vertical="center" indent="1"/>
    </xf>
    <xf numFmtId="0" fontId="42" fillId="0" borderId="11" xfId="0" applyFont="1" applyBorder="1" applyAlignment="1" applyProtection="1">
      <alignment horizontal="center" vertical="center"/>
      <protection locked="0"/>
    </xf>
    <xf numFmtId="0" fontId="42" fillId="0" borderId="14" xfId="0" applyFont="1" applyBorder="1" applyAlignment="1" applyProtection="1">
      <alignment horizontal="center" vertical="center"/>
      <protection locked="0"/>
    </xf>
    <xf numFmtId="0" fontId="20" fillId="0" borderId="10" xfId="0" applyFont="1" applyBorder="1" applyAlignment="1" applyProtection="1">
      <alignment horizontal="center" vertical="center" wrapText="1"/>
      <protection locked="0"/>
    </xf>
    <xf numFmtId="0" fontId="20" fillId="0" borderId="13" xfId="0" applyFont="1" applyBorder="1" applyAlignment="1" applyProtection="1">
      <alignment horizontal="center" vertical="center" wrapText="1"/>
      <protection locked="0"/>
    </xf>
    <xf numFmtId="0" fontId="20" fillId="21" borderId="16" xfId="0" applyFont="1" applyFill="1" applyBorder="1" applyAlignment="1" applyProtection="1">
      <alignment horizontal="left" vertical="center" wrapText="1"/>
      <protection locked="0"/>
    </xf>
    <xf numFmtId="0" fontId="20" fillId="21" borderId="17" xfId="0" applyFont="1" applyFill="1" applyBorder="1" applyAlignment="1" applyProtection="1">
      <alignment horizontal="left" vertical="center" wrapText="1"/>
      <protection locked="0"/>
    </xf>
    <xf numFmtId="0" fontId="20" fillId="21" borderId="18"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9" xfId="0" applyFont="1" applyBorder="1" applyAlignment="1">
      <alignment horizontal="left" vertical="center" indent="1"/>
    </xf>
    <xf numFmtId="0" fontId="46" fillId="0" borderId="28" xfId="0" applyFont="1" applyBorder="1" applyAlignment="1">
      <alignment horizontal="left" vertical="center" indent="1"/>
    </xf>
    <xf numFmtId="0" fontId="46" fillId="0" borderId="21"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43" fontId="20" fillId="0" borderId="12" xfId="0" applyNumberFormat="1" applyFont="1" applyBorder="1" applyAlignment="1">
      <alignment horizontal="center" vertical="center"/>
    </xf>
    <xf numFmtId="43" fontId="20" fillId="0" borderId="15" xfId="0" applyNumberFormat="1" applyFont="1" applyBorder="1" applyAlignment="1">
      <alignment horizontal="center" vertical="center"/>
    </xf>
    <xf numFmtId="43" fontId="20" fillId="0" borderId="11" xfId="0" applyNumberFormat="1" applyFont="1" applyBorder="1" applyAlignment="1" applyProtection="1">
      <alignment horizontal="center" vertical="center"/>
      <protection locked="0"/>
    </xf>
    <xf numFmtId="43" fontId="20" fillId="0" borderId="14" xfId="0" applyNumberFormat="1" applyFont="1" applyBorder="1" applyAlignment="1" applyProtection="1">
      <alignment horizontal="center" vertical="center"/>
      <protection locked="0"/>
    </xf>
    <xf numFmtId="44" fontId="50" fillId="23" borderId="24" xfId="0" applyNumberFormat="1" applyFont="1" applyFill="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6"/>
  <sheetViews>
    <sheetView showGridLines="0" tabSelected="1" zoomScaleNormal="100" workbookViewId="0">
      <selection activeCell="E19" sqref="E19"/>
    </sheetView>
  </sheetViews>
  <sheetFormatPr defaultColWidth="9" defaultRowHeight="14.4" x14ac:dyDescent="0.3"/>
  <cols>
    <col min="1" max="1" customWidth="true" style="7" width="3.796875"/>
    <col min="2" max="2" bestFit="true" customWidth="true" style="7" width="23.796875"/>
    <col min="3" max="3" bestFit="true" customWidth="true" style="28" width="6.59765625"/>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36</v>
      </c>
      <c r="D2" s="64" t="s">
        <v>0</v>
      </c>
      <c r="E2" s="64"/>
    </row>
    <row r="3" spans="2:8" ht="15" customHeight="1" x14ac:dyDescent="0.3">
      <c r="B3" s="13" t="s">
        <v>39</v>
      </c>
      <c r="D3" s="14"/>
      <c r="E3" s="14"/>
      <c r="G3" s="25" t="s">
        <v>1</v>
      </c>
      <c r="H3" s="15"/>
    </row>
    <row r="4" spans="2:8" ht="15" customHeight="1" x14ac:dyDescent="0.3">
      <c r="B4" s="13" t="s">
        <v>38</v>
      </c>
      <c r="D4" s="14"/>
      <c r="E4" s="14"/>
      <c r="G4" s="17" t="s">
        <v>2</v>
      </c>
      <c r="H4" s="17"/>
    </row>
    <row r="5" spans="2:8" ht="15" customHeight="1" thickBot="1" x14ac:dyDescent="0.35">
      <c r="B5" s="13" t="s">
        <v>37</v>
      </c>
      <c r="C5" s="29"/>
      <c r="G5" s="18"/>
    </row>
    <row r="6" spans="2:8" s="28" customFormat="1" ht="15" customHeight="1" x14ac:dyDescent="0.25">
      <c r="B6" s="48" t="s">
        <v>5</v>
      </c>
      <c r="C6" s="29"/>
      <c r="D6" s="40" t="s">
        <v>3</v>
      </c>
      <c r="E6" s="41" t="s">
        <v>4</v>
      </c>
      <c r="G6" s="34" t="s">
        <v>8</v>
      </c>
    </row>
    <row r="7" spans="2:8" ht="15" customHeight="1" x14ac:dyDescent="0.3">
      <c r="B7" s="49" t="s">
        <v>42</v>
      </c>
      <c r="C7" s="30"/>
      <c r="D7" s="42" t="s">
        <v>47</v>
      </c>
      <c r="E7" s="43">
        <f ca="1">TODAY()</f>
        <v>45996</v>
      </c>
      <c r="G7" s="18"/>
    </row>
    <row r="8" spans="2:8" ht="15" customHeight="1" x14ac:dyDescent="0.3">
      <c r="B8" s="49" t="s">
        <v>43</v>
      </c>
      <c r="C8" s="31"/>
      <c r="D8" s="44" t="s">
        <v>6</v>
      </c>
      <c r="E8" s="45" t="s">
        <v>7</v>
      </c>
      <c r="G8" s="14"/>
    </row>
    <row r="9" spans="2:8" ht="15" customHeight="1" thickBot="1" x14ac:dyDescent="0.35">
      <c r="B9" s="49" t="s">
        <v>44</v>
      </c>
      <c r="C9" s="31"/>
      <c r="D9" s="46" t="s">
        <v>48</v>
      </c>
      <c r="E9" s="47"/>
      <c r="G9" s="24" t="s">
        <v>12</v>
      </c>
    </row>
    <row r="10" spans="2:8" ht="15" customHeight="1" x14ac:dyDescent="0.3">
      <c r="B10" s="49" t="s">
        <v>45</v>
      </c>
      <c r="C10" s="31"/>
      <c r="D10" s="16"/>
      <c r="E10" s="16"/>
      <c r="G10" s="18" t="s">
        <v>14</v>
      </c>
    </row>
    <row r="11" spans="2:8" ht="15" customHeight="1" thickBot="1" x14ac:dyDescent="0.35">
      <c r="B11" s="50" t="s">
        <v>46</v>
      </c>
      <c r="C11" s="31"/>
      <c r="D11" s="16"/>
      <c r="E11" s="16"/>
      <c r="G11" s="18" t="s">
        <v>16</v>
      </c>
    </row>
    <row r="12" spans="2:8" ht="41.4" customHeight="1" thickBot="1" x14ac:dyDescent="0.35">
      <c r="B12" s="61" t="s">
        <v>41</v>
      </c>
      <c r="C12" s="62"/>
      <c r="D12" s="62"/>
      <c r="E12" s="63"/>
      <c r="G12" s="18"/>
    </row>
    <row r="13" spans="2:8" s="28" customFormat="1" ht="19.95" customHeight="1" thickBot="1" x14ac:dyDescent="0.3">
      <c r="B13" s="37" t="s">
        <v>17</v>
      </c>
      <c r="C13" s="38" t="s">
        <v>18</v>
      </c>
      <c r="D13" s="38" t="s">
        <v>19</v>
      </c>
      <c r="E13" s="39" t="s">
        <v>20</v>
      </c>
      <c r="G13" s="33"/>
    </row>
    <row r="14" spans="2:8" ht="19.95" customHeight="1" x14ac:dyDescent="0.3">
      <c r="B14" s="59" t="s">
        <v>49</v>
      </c>
      <c r="C14" s="57" t="n">
        <v>6.0</v>
      </c>
      <c r="D14" s="73" t="n">
        <v>750.0</v>
      </c>
      <c r="E14" s="71" t="n">
        <f t="shared" ref="E14" si="0">IF(C14="",ROUND(1*D14,2),ROUND(C14*D14,2))</f>
        <v>30000.0</v>
      </c>
      <c r="G14" s="18"/>
    </row>
    <row r="15" spans="2:8" ht="19.95" customHeight="1" thickBot="1" x14ac:dyDescent="0.35">
      <c r="B15" s="60"/>
      <c r="C15" s="58"/>
      <c r="D15" s="74"/>
      <c r="E15" s="72"/>
      <c r="G15" s="18" t="s">
        <v>21</v>
      </c>
    </row>
    <row r="16" spans="2:8" ht="19.95" customHeight="1" x14ac:dyDescent="0.3">
      <c r="B16" s="27" t="s">
        <v>22</v>
      </c>
      <c r="C16" s="66" t="s">
        <v>23</v>
      </c>
      <c r="D16" s="67"/>
      <c r="E16" s="51" t="n">
        <f>SUM(E12:E15)</f>
        <v>4500.0</v>
      </c>
      <c r="G16" s="20"/>
    </row>
    <row r="17" spans="2:7" ht="19.95" customHeight="1" x14ac:dyDescent="0.3">
      <c r="B17" s="19"/>
      <c r="C17" s="68" t="s">
        <v>24</v>
      </c>
      <c r="D17" s="69"/>
      <c r="E17" s="52" t="n">
        <v>0.0</v>
      </c>
      <c r="G17" s="20"/>
    </row>
    <row r="18" spans="2:7" ht="19.95" customHeight="1" x14ac:dyDescent="0.3">
      <c r="B18" s="19"/>
      <c r="C18" s="53" t="s">
        <v>26</v>
      </c>
      <c r="D18" s="19"/>
      <c r="E18" s="54" t="n">
        <f>E16*E17</f>
        <v>16.0</v>
      </c>
      <c r="G18" s="20"/>
    </row>
    <row r="19" spans="2:7" ht="19.95" customHeight="1" thickBot="1" x14ac:dyDescent="0.35">
      <c r="B19" s="21"/>
      <c r="C19" s="55" t="s">
        <v>27</v>
      </c>
      <c r="D19" s="56"/>
      <c r="E19" s="75" t="n">
        <f>E16+E18</f>
        <v>76500.0</v>
      </c>
      <c r="G19" s="20"/>
    </row>
    <row r="20" spans="2:7" ht="19.95" customHeight="1" x14ac:dyDescent="0.3">
      <c r="B20" s="16"/>
      <c r="C20" s="32"/>
      <c r="D20" s="22"/>
      <c r="E20" s="22"/>
      <c r="G20" s="20"/>
    </row>
    <row r="21" spans="2:7" ht="19.95" customHeight="1" x14ac:dyDescent="0.3">
      <c r="B21" s="14"/>
      <c r="D21" s="14"/>
      <c r="E21" s="14"/>
      <c r="G21" s="20"/>
    </row>
    <row r="22" spans="2:7" ht="19.95" customHeight="1" x14ac:dyDescent="0.3">
      <c r="B22" s="70" t="s">
        <v>30</v>
      </c>
      <c r="C22" s="70"/>
      <c r="D22" s="70"/>
      <c r="E22" s="70"/>
      <c r="G22" s="20"/>
    </row>
    <row r="23" spans="2:7" s="8" customFormat="1" ht="19.95" customHeight="1" x14ac:dyDescent="0.3">
      <c r="B23" s="65" t="s">
        <v>31</v>
      </c>
      <c r="C23" s="65"/>
      <c r="D23" s="65"/>
      <c r="E23" s="65"/>
      <c r="G23" s="18"/>
    </row>
    <row r="24" spans="2:7" ht="19.95" customHeight="1" x14ac:dyDescent="0.3">
      <c r="G24" s="18" t="s">
        <v>25</v>
      </c>
    </row>
    <row r="25" spans="2:7" ht="19.95" customHeight="1" x14ac:dyDescent="0.3">
      <c r="G25" s="18"/>
    </row>
    <row r="26" spans="2:7" ht="30" customHeight="1" x14ac:dyDescent="0.3">
      <c r="G26" s="18" t="s">
        <v>28</v>
      </c>
    </row>
    <row r="27" spans="2:7" ht="19.95" customHeight="1" x14ac:dyDescent="0.3">
      <c r="G27" s="18" t="s">
        <v>29</v>
      </c>
    </row>
    <row r="28" spans="2:7" ht="19.95" customHeight="1" x14ac:dyDescent="0.3">
      <c r="G28" s="18"/>
    </row>
    <row r="29" spans="2:7" ht="19.95" customHeight="1" x14ac:dyDescent="0.3">
      <c r="G29" s="20"/>
    </row>
    <row r="30" spans="2:7" ht="19.95" customHeight="1" x14ac:dyDescent="0.3">
      <c r="G30" s="18" t="s">
        <v>32</v>
      </c>
    </row>
    <row r="31" spans="2:7" ht="19.95" customHeight="1" x14ac:dyDescent="0.3">
      <c r="G31" s="23"/>
    </row>
    <row r="32" spans="2:7" ht="19.95" customHeight="1" x14ac:dyDescent="0.3"/>
    <row r="33" ht="19.95" customHeight="1" x14ac:dyDescent="0.3"/>
    <row r="34" ht="19.95" customHeight="1" x14ac:dyDescent="0.3"/>
    <row r="35" ht="19.95" customHeight="1" x14ac:dyDescent="0.3"/>
    <row r="36" ht="19.95" customHeight="1" x14ac:dyDescent="0.3"/>
  </sheetData>
  <mergeCells count="10">
    <mergeCell ref="C14:C15"/>
    <mergeCell ref="B14:B15"/>
    <mergeCell ref="B12:E12"/>
    <mergeCell ref="D2:E2"/>
    <mergeCell ref="B23:E23"/>
    <mergeCell ref="C16:D16"/>
    <mergeCell ref="C17:D17"/>
    <mergeCell ref="B22:E22"/>
    <mergeCell ref="E14:E15"/>
    <mergeCell ref="D14:D15"/>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33</v>
      </c>
    </row>
    <row r="6" spans="1:2" ht="57.6" x14ac:dyDescent="0.3">
      <c r="A6" s="9" t="s">
        <v>34</v>
      </c>
    </row>
    <row r="7" spans="1:2" ht="14.4" x14ac:dyDescent="0.3">
      <c r="A7" s="9"/>
    </row>
    <row r="8" spans="1:2" ht="82.8" customHeight="1" x14ac:dyDescent="0.3">
      <c r="A8" s="9" t="s">
        <v>35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3.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2025-12-05T15:04:27Z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