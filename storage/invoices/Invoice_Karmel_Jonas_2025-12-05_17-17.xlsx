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E28379E3-1958-49F9-9EDD-0717CC2105AC}"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<sst xmlns="http://schemas.openxmlformats.org/spreadsheetml/2006/main" count="51" uniqueCount="49">
  <si>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</si>
  <si>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</si>
  <si>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</si>
  <si>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</si>
  <si>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</si>
  <si>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</si>
  <si>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</si>
  <si>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</si>
  <si>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</si>
  <si>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</si>
  <si>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</si>
  <si>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</si>
  <si>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</si>
  <si>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</si>
  <si>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</si>
  <si>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</si>
  <si>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</si>
  <si>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</si>
  <si>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</si>
  <si>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</si>
  <si>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</si>
  <si>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</si>
  <si>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</si>
  <si>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</si>
  <si>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</si>
  <si>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</si>
  <si>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</si>
  <si>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</si>
  <si>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</si>
  <si>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</si>
  <si>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</si>
  <si>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</si>
  <si>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</si>
  <si>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</si>
  <si>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</si>
  <si>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</si>
  <si>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</si>
  <si>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</si>
  <si>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</si>
  <si>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</si>
  <si>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</si>
  <si>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Karmel Jonas</t>
  </si>
  <si>
    <t>890909093</t>
  </si>
  <si>
    <t>Maputo Province, Maputo</t>
  </si>
  <si>
    <t>cliente.aguachiziane@gmail.com</t>
  </si>
  <si>
    <t>ATIVO</t>
  </si>
  <si>
    <t>1234</t>
  </si>
  <si>
    <t>b646d3d3-5705-4c22-9670-35bf99b30219</t>
  </si>
  <si>
    <t>março, abril, maio, junho, 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</si>
</sst>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0" fontId="42" fillId="0" borderId="24" xfId="0" applyFont="1" applyBorder="1" applyAlignment="1" applyProtection="1">
      <alignment vertical="center"/>
      <protection locked="0"/>
    </xf>
    <xf numFmtId="43" fontId="20" fillId="0" borderId="24" xfId="0" applyNumberFormat="1" applyFont="1" applyBorder="1" applyAlignment="1" applyProtection="1">
      <alignment vertical="center"/>
      <protection locked="0"/>
    </xf>
    <xf numFmtId="165" fontId="20"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F25" sqref="F25"/>
    </sheetView>
  </sheetViews>
  <sheetFormatPr defaultColWidth="9" defaultRowHeight="14.4" x14ac:dyDescent="0.3"/>
  <cols>
    <col min="1" max="1" customWidth="true" style="7" width="3.796875"/>
    <col min="2" max="2" bestFit="true" customWidth="true" style="7" width="23.796875"/>
    <col min="3" max="3" bestFit="true" customWidth="true" style="28" width="6.59765625"/>
    <col min="4" max="4" bestFit="true" customWidth="true" style="7" width="13.59765625"/>
    <col min="5" max="5" bestFit="true" customWidth="true" style="7" width="13.1992187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7" t="n">
        <v>6.0</v>
      </c>
      <c r="D14" s="68" t="n">
        <v>750.0</v>
      </c>
      <c r="E14" s="69" t="n">
        <f t="shared" ref="E14" si="0">IF(C14="",ROUND(1*D14,2),ROUND(C14*D14,2))</f>
        <v>30000.0</v>
      </c>
      <c r="G14" s="18"/>
    </row>
    <row r="15" spans="2:8" ht="19.95" customHeight="1" x14ac:dyDescent="0.3">
      <c r="B15" s="27" t="s">
        <v>21</v>
      </c>
      <c r="C15" s="60" t="s">
        <v>22</v>
      </c>
      <c r="D15" s="65"/>
      <c r="E15" s="64" t="n">
        <f>SUM(E12:E14)</f>
        <v>4500.0</v>
      </c>
      <c r="G15" s="20"/>
    </row>
    <row r="16" spans="2:8" ht="19.95" customHeight="1" x14ac:dyDescent="0.3">
      <c r="B16" s="19"/>
      <c r="C16" s="60" t="s">
        <v>23</v>
      </c>
      <c r="D16" s="61"/>
      <c r="E16" s="51" t="n">
        <v>0.0</v>
      </c>
      <c r="G16" s="20"/>
    </row>
    <row r="17" spans="2:7" ht="19.95" customHeight="1" x14ac:dyDescent="0.3">
      <c r="B17" s="19"/>
      <c r="C17" s="52" t="s">
        <v>25</v>
      </c>
      <c r="D17" s="19"/>
      <c r="E17" s="64" t="n">
        <f>E15*E16</f>
        <v>16.0</v>
      </c>
      <c r="G17" s="20"/>
    </row>
    <row r="18" spans="2:7" ht="19.95" customHeight="1" thickBot="1" x14ac:dyDescent="0.35">
      <c r="B18" s="21"/>
      <c r="C18" s="53" t="s">
        <v>26</v>
      </c>
      <c r="D18" s="54"/>
      <c r="E18" s="63" t="n">
        <f>E15+E17</f>
        <v>76500.0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